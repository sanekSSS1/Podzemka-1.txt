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62B2918F-C4EA-4446-B7E4-A9A9104F544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14" i="1" l="1"/>
  <c r="BH15" i="1"/>
  <c r="BH17" i="1"/>
  <c r="AP14" i="1"/>
  <c r="BG14" i="1"/>
  <c r="BG15" i="1"/>
  <c r="BG17" i="1"/>
  <c r="BE14" i="1"/>
  <c r="BF14" i="1"/>
  <c r="BE15" i="1"/>
  <c r="BF15" i="1"/>
  <c r="BE17" i="1"/>
  <c r="BF17" i="1"/>
  <c r="BD14" i="1"/>
  <c r="BD15" i="1"/>
  <c r="BD17" i="1"/>
  <c r="BC17" i="1"/>
  <c r="BC15" i="1"/>
  <c r="BC14" i="1"/>
  <c r="BB14" i="1"/>
  <c r="BB15" i="1"/>
  <c r="BB17" i="1"/>
  <c r="BA14" i="1"/>
  <c r="BA15" i="1"/>
  <c r="BA17" i="1"/>
  <c r="AZ17" i="1"/>
  <c r="AZ14" i="1"/>
  <c r="AZ15" i="1"/>
  <c r="AY14" i="1"/>
  <c r="AY15" i="1"/>
  <c r="AY17" i="1"/>
  <c r="AX14" i="1"/>
  <c r="AX15" i="1"/>
  <c r="AX17" i="1"/>
  <c r="AW17" i="1"/>
  <c r="AW14" i="1"/>
  <c r="AW15" i="1"/>
  <c r="AV17" i="1"/>
  <c r="AV14" i="1"/>
  <c r="AV15" i="1"/>
  <c r="AU14" i="1"/>
  <c r="AU15" i="1"/>
  <c r="AU17" i="1"/>
  <c r="AT17" i="1"/>
  <c r="AT14" i="1"/>
  <c r="AT15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Q14" i="1"/>
  <c r="AR14" i="1"/>
  <c r="AS14" i="1"/>
  <c r="AS15" i="1"/>
  <c r="AS17" i="1"/>
  <c r="AR15" i="1"/>
  <c r="AR17" i="1"/>
  <c r="AH15" i="1"/>
  <c r="AI15" i="1"/>
  <c r="AJ15" i="1"/>
  <c r="AK15" i="1"/>
  <c r="AL15" i="1"/>
  <c r="AM15" i="1"/>
  <c r="AN15" i="1"/>
  <c r="AO15" i="1"/>
  <c r="AP15" i="1"/>
  <c r="AQ15" i="1"/>
  <c r="AH17" i="1"/>
  <c r="AI17" i="1"/>
  <c r="AJ17" i="1"/>
  <c r="AK17" i="1"/>
  <c r="AL17" i="1"/>
  <c r="AM17" i="1"/>
  <c r="AN17" i="1"/>
  <c r="AO17" i="1"/>
  <c r="AP17" i="1"/>
  <c r="AQ17" i="1"/>
  <c r="AG15" i="1"/>
  <c r="AG17" i="1"/>
  <c r="AE15" i="1"/>
  <c r="AF15" i="1"/>
  <c r="AE17" i="1"/>
  <c r="AF17" i="1"/>
  <c r="AC15" i="1"/>
  <c r="AC17" i="1"/>
  <c r="AD15" i="1"/>
  <c r="AD17" i="1"/>
  <c r="AB15" i="1"/>
  <c r="AB17" i="1"/>
  <c r="AA15" i="1"/>
  <c r="AA17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J17" i="1"/>
  <c r="K17" i="1"/>
  <c r="I17" i="1"/>
  <c r="H17" i="1" l="1"/>
  <c r="G17" i="1"/>
  <c r="F17" i="1"/>
  <c r="E17" i="1"/>
  <c r="D17" i="1"/>
  <c r="C17" i="1"/>
</calcChain>
</file>

<file path=xl/sharedStrings.xml><?xml version="1.0" encoding="utf-8"?>
<sst xmlns="http://schemas.openxmlformats.org/spreadsheetml/2006/main" count="84" uniqueCount="37">
  <si>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</si>
  <si>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</si>
  <si>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</si>
  <si>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</si>
  <si>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</si>
  <si>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</si>
  <si>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</si>
  <si>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</si>
  <si>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</si>
  <si>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</si>
  <si>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</si>
  <si>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</si>
  <si>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2021 год</t>
  </si>
  <si>
    <t>Виды платежей</t>
  </si>
  <si>
    <t>Кредит Форте</t>
  </si>
  <si>
    <t>Кредит Евразийский</t>
  </si>
  <si>
    <t>Кредит Каспий</t>
  </si>
  <si>
    <t>Максиму</t>
  </si>
  <si>
    <t>Свет</t>
  </si>
  <si>
    <t>Телефон</t>
  </si>
  <si>
    <t>Тепло</t>
  </si>
  <si>
    <t>Вода</t>
  </si>
  <si>
    <t>Ладман</t>
  </si>
  <si>
    <t>ИТОГО:</t>
  </si>
  <si>
    <t>На каспий.</t>
  </si>
  <si>
    <t>АлмаТВ</t>
  </si>
  <si>
    <t>№ Счета</t>
  </si>
  <si>
    <t>УСЛУГА</t>
  </si>
  <si>
    <t>Комуналка</t>
  </si>
  <si>
    <t>мусор</t>
  </si>
  <si>
    <t>Свет                    41009550</t>
  </si>
  <si>
    <t xml:space="preserve">Телефон      77233563120 </t>
  </si>
  <si>
    <t>Тепло                    4024021</t>
  </si>
  <si>
    <t>Вода                          15341</t>
  </si>
  <si>
    <t>Ладман свет      41280115</t>
  </si>
  <si>
    <t>АлмаТВ            270276482</t>
  </si>
  <si>
    <t>Мусор                      33169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</si>
</sst>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2" applyNumberFormat="0" applyFill="0" applyAlignment="0" applyProtection="0"/>
  </cellStyleXfs>
  <cellXfs count="2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  <xf numFmtId="14" fontId="0" fillId="0" borderId="1" xfId="0" applyNumberFormat="1" applyBorder="1"/>
    <xf numFmtId="0" fontId="3" fillId="0" borderId="3" xfId="1" applyBorder="1"/>
    <xf numFmtId="0" fontId="0" fillId="0" borderId="3" xfId="0" applyBorder="1"/>
    <xf numFmtId="0" fontId="0" fillId="5" borderId="0" xfId="0" applyFill="1"/>
    <xf numFmtId="0" fontId="0" fillId="4" borderId="1" xfId="0" applyFill="1" applyBorder="1"/>
    <xf numFmtId="0" fontId="0" fillId="6" borderId="0" xfId="0" applyFill="1"/>
    <xf numFmtId="0" fontId="0" fillId="2" borderId="4" xfId="0" applyFill="1" applyBorder="1"/>
    <xf numFmtId="0" fontId="0" fillId="3" borderId="4" xfId="0" applyFill="1" applyBorder="1"/>
    <xf numFmtId="0" fontId="1" fillId="6" borderId="1" xfId="0" applyFont="1" applyFill="1" applyBorder="1"/>
    <xf numFmtId="0" fontId="0" fillId="6" borderId="1" xfId="0" applyFill="1" applyBorder="1"/>
    <xf numFmtId="0" fontId="0" fillId="5" borderId="1" xfId="0" applyFill="1" applyBorder="1"/>
    <xf numFmtId="0" fontId="1" fillId="0" borderId="1" xfId="0" applyFont="1" applyBorder="1"/>
    <xf numFmtId="0" fontId="0" fillId="2" borderId="0" xfId="0" applyFill="1"/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1" xfId="0" applyFill="1" applyBorder="1"/>
  </cellXfs>
  <cellStyles count="2">
    <cellStyle name="Заголовок 1" xfId="1" builtinId="16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7"/>
  <sheetViews>
    <sheetView tabSelected="1" zoomScale="115" zoomScaleNormal="115" workbookViewId="0">
      <pane xSplit="1" topLeftCell="AI1" activePane="topRight" state="frozen"/>
      <selection pane="topRight" activeCell="BH5" sqref="BH5"/>
    </sheetView>
  </sheetViews>
  <sheetFormatPr defaultRowHeight="15" x14ac:dyDescent="0.25"/>
  <cols>
    <col min="1" max="1" width="23.85546875" customWidth="1"/>
    <col min="2" max="2" width="14.7109375" customWidth="1"/>
    <col min="3" max="3" width="16.140625" customWidth="1"/>
    <col min="4" max="4" width="14.42578125" customWidth="1"/>
    <col min="5" max="5" width="15.140625" customWidth="1"/>
  </cols>
  <sheetData>
    <row r="1" spans="1:60" x14ac:dyDescent="0.25">
      <c r="A1" s="19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60" x14ac:dyDescent="0.25">
      <c r="A2" s="1" t="s">
        <v>13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0</v>
      </c>
      <c r="O2" s="1" t="s">
        <v>1</v>
      </c>
      <c r="P2" s="1" t="s">
        <v>2</v>
      </c>
      <c r="Q2" s="1" t="s">
        <v>3</v>
      </c>
      <c r="R2" s="1" t="s">
        <v>4</v>
      </c>
      <c r="S2" s="5" t="s">
        <v>5</v>
      </c>
      <c r="T2" s="5" t="s">
        <v>6</v>
      </c>
      <c r="U2" s="5" t="s">
        <v>7</v>
      </c>
      <c r="V2" s="5" t="s">
        <v>8</v>
      </c>
      <c r="W2" s="5" t="s">
        <v>9</v>
      </c>
      <c r="X2" s="5" t="s">
        <v>10</v>
      </c>
      <c r="Y2" s="5" t="s">
        <v>11</v>
      </c>
      <c r="Z2" s="5" t="s">
        <v>0</v>
      </c>
      <c r="AA2" s="5" t="s">
        <v>1</v>
      </c>
      <c r="AB2" s="5" t="s">
        <v>2</v>
      </c>
      <c r="AC2" s="5" t="s">
        <v>3</v>
      </c>
      <c r="AD2" s="5" t="s">
        <v>4</v>
      </c>
      <c r="AE2" s="5" t="s">
        <v>5</v>
      </c>
      <c r="AF2" s="5" t="s">
        <v>6</v>
      </c>
      <c r="AG2" s="5" t="s">
        <v>7</v>
      </c>
      <c r="AH2" s="5" t="s">
        <v>8</v>
      </c>
      <c r="AI2" s="5" t="s">
        <v>9</v>
      </c>
      <c r="AJ2" s="5" t="s">
        <v>10</v>
      </c>
      <c r="AK2" s="5" t="s">
        <v>11</v>
      </c>
      <c r="AL2" s="5" t="s">
        <v>0</v>
      </c>
      <c r="AM2" s="5" t="s">
        <v>1</v>
      </c>
      <c r="AN2" s="5" t="s">
        <v>2</v>
      </c>
      <c r="AO2" s="5" t="s">
        <v>3</v>
      </c>
      <c r="AP2" s="5" t="s">
        <v>4</v>
      </c>
      <c r="AQ2" s="5" t="s">
        <v>5</v>
      </c>
      <c r="AR2" s="5" t="s">
        <v>6</v>
      </c>
      <c r="AS2" s="5" t="s">
        <v>7</v>
      </c>
      <c r="AT2" s="5" t="s">
        <v>8</v>
      </c>
      <c r="AU2" s="5" t="s">
        <v>9</v>
      </c>
      <c r="AV2" s="5" t="s">
        <v>10</v>
      </c>
      <c r="AW2" s="5" t="s">
        <v>11</v>
      </c>
      <c r="AX2" s="5" t="s">
        <v>0</v>
      </c>
      <c r="AY2" s="5" t="s">
        <v>1</v>
      </c>
      <c r="AZ2" s="5" t="s">
        <v>2</v>
      </c>
      <c r="BA2" s="5" t="s">
        <v>3</v>
      </c>
      <c r="BB2" s="5" t="s">
        <v>4</v>
      </c>
      <c r="BC2" s="5" t="s">
        <v>5</v>
      </c>
      <c r="BD2" s="5" t="s">
        <v>6</v>
      </c>
      <c r="BE2" s="5" t="s">
        <v>7</v>
      </c>
      <c r="BF2" s="5" t="s">
        <v>8</v>
      </c>
      <c r="BG2" s="5" t="s">
        <v>9</v>
      </c>
      <c r="BH2" s="5" t="s">
        <v>10</v>
      </c>
    </row>
    <row r="3" spans="1:60" x14ac:dyDescent="0.25">
      <c r="A3" s="1" t="s">
        <v>14</v>
      </c>
      <c r="B3" s="1"/>
      <c r="C3" s="2">
        <v>25000</v>
      </c>
      <c r="D3" s="2">
        <v>25000</v>
      </c>
      <c r="E3" s="2">
        <v>25000</v>
      </c>
      <c r="F3" s="2">
        <v>25000</v>
      </c>
      <c r="G3" s="2">
        <v>25000</v>
      </c>
      <c r="H3" s="2">
        <v>25000</v>
      </c>
      <c r="I3" s="2">
        <v>25000</v>
      </c>
      <c r="J3" s="1"/>
      <c r="K3" s="4">
        <v>25000</v>
      </c>
      <c r="L3" s="2">
        <v>25000</v>
      </c>
      <c r="M3" s="2">
        <v>25000</v>
      </c>
      <c r="N3" s="4">
        <v>25000</v>
      </c>
      <c r="O3" s="2">
        <v>25000</v>
      </c>
      <c r="P3" s="2">
        <v>25000</v>
      </c>
      <c r="Q3" s="2">
        <v>25000</v>
      </c>
      <c r="R3" s="2">
        <v>25000</v>
      </c>
      <c r="S3" s="2">
        <v>25000</v>
      </c>
      <c r="T3" s="2">
        <v>25000</v>
      </c>
      <c r="U3" s="1"/>
      <c r="V3" s="1"/>
      <c r="W3" s="1"/>
      <c r="X3" s="1"/>
      <c r="Y3" s="1"/>
      <c r="Z3" s="1"/>
      <c r="AZ3" s="17">
        <v>11880</v>
      </c>
      <c r="BA3" s="17">
        <v>11880</v>
      </c>
      <c r="BB3" s="17">
        <v>8030</v>
      </c>
      <c r="BC3" s="17">
        <v>38000</v>
      </c>
      <c r="BF3" s="1"/>
      <c r="BG3" s="1"/>
      <c r="BH3" s="1"/>
    </row>
    <row r="4" spans="1:60" x14ac:dyDescent="0.25">
      <c r="A4" s="1" t="s">
        <v>15</v>
      </c>
      <c r="B4" s="1"/>
      <c r="C4" s="2">
        <v>14250</v>
      </c>
      <c r="D4" s="2">
        <v>14250</v>
      </c>
      <c r="E4" s="2">
        <v>14250</v>
      </c>
      <c r="F4" s="2">
        <v>14250</v>
      </c>
      <c r="G4" s="2">
        <v>14250</v>
      </c>
      <c r="H4" s="2">
        <v>14250</v>
      </c>
      <c r="I4" s="2">
        <v>14250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S4" s="2">
        <v>8516</v>
      </c>
      <c r="AT4" s="4">
        <v>8516</v>
      </c>
      <c r="AU4" s="4">
        <v>8516</v>
      </c>
      <c r="AV4" s="4">
        <v>8516</v>
      </c>
      <c r="AW4" s="4">
        <v>8516</v>
      </c>
      <c r="AX4" s="16"/>
      <c r="AY4" s="1"/>
      <c r="AZ4" s="2"/>
      <c r="BA4" s="1"/>
      <c r="BB4" s="1"/>
      <c r="BC4" s="1"/>
      <c r="BD4" s="1"/>
      <c r="BE4" s="18"/>
      <c r="BF4" s="1"/>
      <c r="BG4" s="1"/>
      <c r="BH4" s="1"/>
    </row>
    <row r="5" spans="1:60" x14ac:dyDescent="0.25">
      <c r="A5" s="1" t="s">
        <v>16</v>
      </c>
      <c r="B5" s="1"/>
      <c r="C5" s="2">
        <v>5300</v>
      </c>
      <c r="D5" s="2">
        <v>5300</v>
      </c>
      <c r="E5" s="2">
        <v>5300</v>
      </c>
      <c r="F5" s="2">
        <v>5300</v>
      </c>
      <c r="G5" s="2">
        <v>5300</v>
      </c>
      <c r="H5" s="2">
        <v>5300</v>
      </c>
      <c r="I5" s="2">
        <v>5300</v>
      </c>
      <c r="J5" s="1"/>
      <c r="K5" s="2">
        <v>22000</v>
      </c>
      <c r="L5" s="2">
        <v>22000</v>
      </c>
      <c r="M5" s="2">
        <v>17100</v>
      </c>
      <c r="N5" s="1"/>
      <c r="O5" s="1"/>
      <c r="P5" s="1"/>
      <c r="Q5" s="1"/>
      <c r="R5" s="2">
        <v>34000</v>
      </c>
      <c r="S5" s="2">
        <v>13000</v>
      </c>
      <c r="T5" s="2">
        <v>13000</v>
      </c>
      <c r="U5" s="2">
        <v>13000</v>
      </c>
      <c r="V5" s="2">
        <v>20000</v>
      </c>
      <c r="W5" s="2">
        <v>20000</v>
      </c>
      <c r="X5" s="2">
        <v>28000</v>
      </c>
      <c r="Y5" s="2">
        <v>30000</v>
      </c>
      <c r="Z5" s="2">
        <v>30000</v>
      </c>
      <c r="AA5" s="2">
        <v>30000</v>
      </c>
      <c r="AB5" s="2">
        <v>30000</v>
      </c>
      <c r="AC5" s="2">
        <v>30000</v>
      </c>
      <c r="AD5" s="2">
        <v>30000</v>
      </c>
      <c r="AE5" s="1"/>
      <c r="AF5" s="2">
        <v>30000</v>
      </c>
      <c r="AG5" s="2">
        <v>30000</v>
      </c>
      <c r="AH5" s="1"/>
      <c r="AI5" s="1"/>
      <c r="AJ5" s="1"/>
      <c r="AK5" s="1"/>
      <c r="AL5" s="1"/>
      <c r="AM5" s="1"/>
      <c r="AN5" s="1"/>
      <c r="AO5" s="1"/>
      <c r="AP5" s="2">
        <v>52300</v>
      </c>
      <c r="AQ5" s="2">
        <v>52300</v>
      </c>
      <c r="AR5" s="11">
        <v>60280</v>
      </c>
      <c r="AS5" s="2">
        <v>60280</v>
      </c>
      <c r="AT5" s="13">
        <v>60280</v>
      </c>
      <c r="AU5" s="13">
        <v>60280</v>
      </c>
      <c r="AV5" s="2">
        <v>52300</v>
      </c>
      <c r="AW5" s="2">
        <v>52300</v>
      </c>
      <c r="AX5" s="2">
        <v>52300</v>
      </c>
      <c r="AY5" s="2">
        <v>52300</v>
      </c>
      <c r="AZ5" s="2">
        <v>53000</v>
      </c>
      <c r="BA5" s="2">
        <v>10000</v>
      </c>
      <c r="BB5" s="2">
        <v>10000</v>
      </c>
      <c r="BC5" s="2">
        <v>16000</v>
      </c>
      <c r="BD5" s="1"/>
      <c r="BE5" s="18"/>
      <c r="BF5" s="2">
        <v>5500</v>
      </c>
      <c r="BG5" s="2">
        <v>5500</v>
      </c>
      <c r="BH5" s="20">
        <v>56000</v>
      </c>
    </row>
    <row r="6" spans="1:60" x14ac:dyDescent="0.25">
      <c r="A6" s="1" t="s">
        <v>17</v>
      </c>
      <c r="B6" s="1"/>
      <c r="C6" s="2">
        <v>30000</v>
      </c>
      <c r="D6" s="2">
        <v>30000</v>
      </c>
      <c r="E6" s="2">
        <v>30000</v>
      </c>
      <c r="F6" s="2">
        <v>30000</v>
      </c>
      <c r="G6" s="2">
        <v>30000</v>
      </c>
      <c r="H6" s="2">
        <v>30000</v>
      </c>
      <c r="I6" s="2">
        <v>30000</v>
      </c>
      <c r="J6" s="1"/>
      <c r="K6" s="1"/>
      <c r="L6" s="2">
        <v>30000</v>
      </c>
      <c r="M6" s="2">
        <v>30000</v>
      </c>
      <c r="N6" s="2">
        <v>30000</v>
      </c>
      <c r="O6" s="2">
        <v>30000</v>
      </c>
      <c r="P6" s="2">
        <v>30000</v>
      </c>
      <c r="Q6" s="2">
        <v>30000</v>
      </c>
      <c r="R6" s="2">
        <v>30000</v>
      </c>
      <c r="S6" s="2">
        <v>30000</v>
      </c>
      <c r="T6" s="2">
        <v>30000</v>
      </c>
      <c r="U6" s="2">
        <v>30000</v>
      </c>
      <c r="V6" s="2">
        <v>30000</v>
      </c>
      <c r="W6" s="2">
        <v>30000</v>
      </c>
      <c r="X6" s="2">
        <v>30000</v>
      </c>
      <c r="Y6" s="2">
        <v>30000</v>
      </c>
      <c r="Z6" s="2">
        <v>30000</v>
      </c>
      <c r="AA6" s="2">
        <v>30000</v>
      </c>
      <c r="AB6" s="2">
        <v>30000</v>
      </c>
      <c r="AC6" s="1">
        <v>30000</v>
      </c>
      <c r="AD6" s="2">
        <v>30000</v>
      </c>
      <c r="AE6" s="1"/>
      <c r="AF6" s="2">
        <v>30000</v>
      </c>
      <c r="AG6" s="2">
        <v>30000</v>
      </c>
      <c r="AH6" s="1"/>
      <c r="AI6" s="1"/>
      <c r="AJ6" s="1"/>
      <c r="AK6" s="1"/>
      <c r="AL6" s="1"/>
      <c r="AM6" s="1"/>
      <c r="AN6" s="1"/>
      <c r="AO6" s="1"/>
      <c r="AP6" s="2">
        <v>30000</v>
      </c>
      <c r="AQ6" s="2">
        <v>30000</v>
      </c>
      <c r="AR6" s="11">
        <v>30000</v>
      </c>
      <c r="AS6" s="2">
        <v>30000</v>
      </c>
      <c r="AT6" s="4">
        <v>30000</v>
      </c>
      <c r="AU6" s="4">
        <v>30000</v>
      </c>
      <c r="AV6" s="2">
        <v>30000</v>
      </c>
      <c r="AW6" s="2">
        <v>30000</v>
      </c>
      <c r="AX6" s="2">
        <v>30000</v>
      </c>
      <c r="AY6" s="2">
        <v>30000</v>
      </c>
      <c r="AZ6" s="2">
        <v>30000</v>
      </c>
      <c r="BA6" s="2">
        <v>30000</v>
      </c>
      <c r="BB6" s="2">
        <v>30000</v>
      </c>
      <c r="BC6" s="2">
        <v>30000</v>
      </c>
      <c r="BD6" s="2">
        <v>30000</v>
      </c>
      <c r="BE6" s="11">
        <v>30000</v>
      </c>
      <c r="BF6" s="2">
        <v>30000</v>
      </c>
      <c r="BG6" s="2">
        <v>30000</v>
      </c>
      <c r="BH6" s="2">
        <v>30000</v>
      </c>
    </row>
    <row r="7" spans="1:60" x14ac:dyDescent="0.25">
      <c r="A7" s="1" t="s">
        <v>18</v>
      </c>
      <c r="B7" s="1"/>
      <c r="C7" s="2">
        <v>7600</v>
      </c>
      <c r="D7" s="2">
        <v>5000</v>
      </c>
      <c r="E7" s="2">
        <v>4000</v>
      </c>
      <c r="F7" s="2">
        <v>4000</v>
      </c>
      <c r="G7" s="2">
        <v>4000</v>
      </c>
      <c r="H7" s="2">
        <v>6000</v>
      </c>
      <c r="I7" s="2">
        <v>9000</v>
      </c>
      <c r="J7" s="1"/>
      <c r="K7" s="2">
        <v>11500</v>
      </c>
      <c r="L7" s="2">
        <v>7500</v>
      </c>
      <c r="M7" s="2">
        <v>4500</v>
      </c>
      <c r="N7" s="2">
        <v>5500</v>
      </c>
      <c r="O7" s="2">
        <v>7600</v>
      </c>
      <c r="P7" s="2">
        <v>3800</v>
      </c>
      <c r="Q7" s="2">
        <v>4300</v>
      </c>
      <c r="R7" s="2">
        <v>4400</v>
      </c>
      <c r="S7" s="2">
        <v>8500</v>
      </c>
      <c r="T7" s="2">
        <v>11500</v>
      </c>
      <c r="U7" s="9">
        <v>10800</v>
      </c>
      <c r="V7" s="2">
        <v>11500</v>
      </c>
      <c r="W7" s="2">
        <v>11100</v>
      </c>
      <c r="X7" s="2">
        <v>7600</v>
      </c>
      <c r="Y7" s="2">
        <v>5500</v>
      </c>
      <c r="Z7" s="2">
        <v>7000</v>
      </c>
      <c r="AA7" s="2">
        <v>7300</v>
      </c>
      <c r="AB7" s="2">
        <v>7400</v>
      </c>
      <c r="AC7" s="2">
        <v>10600</v>
      </c>
      <c r="AD7" s="2">
        <v>13900</v>
      </c>
      <c r="AE7" s="1"/>
      <c r="AF7" s="2">
        <v>16100</v>
      </c>
      <c r="AG7" s="2">
        <v>13500</v>
      </c>
      <c r="AH7" s="1"/>
      <c r="AI7" s="1"/>
      <c r="AJ7" s="1"/>
      <c r="AK7" s="1"/>
      <c r="AL7" s="1"/>
      <c r="AM7" s="1"/>
      <c r="AN7" s="1"/>
      <c r="AO7" s="1"/>
      <c r="AP7" s="2">
        <v>15500</v>
      </c>
      <c r="AQ7" s="2">
        <v>15500</v>
      </c>
      <c r="AR7" s="11">
        <v>17950</v>
      </c>
      <c r="AS7" s="2">
        <v>17950</v>
      </c>
      <c r="AT7" s="4">
        <v>15010</v>
      </c>
      <c r="AU7" s="4">
        <v>8685</v>
      </c>
      <c r="AV7" s="2">
        <v>10000</v>
      </c>
      <c r="AW7" s="2">
        <v>9300</v>
      </c>
      <c r="AX7" s="2">
        <v>12390</v>
      </c>
      <c r="AY7" s="2">
        <v>8200</v>
      </c>
      <c r="AZ7" s="2">
        <v>8834</v>
      </c>
      <c r="BA7" s="2">
        <v>7300</v>
      </c>
      <c r="BB7" s="2">
        <v>13600</v>
      </c>
      <c r="BC7" s="2">
        <v>11415</v>
      </c>
      <c r="BD7" s="2">
        <v>19950</v>
      </c>
      <c r="BE7" s="11">
        <v>15918</v>
      </c>
      <c r="BF7" s="2">
        <v>13350</v>
      </c>
      <c r="BG7" s="2">
        <v>9860</v>
      </c>
      <c r="BH7" s="2">
        <v>7220</v>
      </c>
    </row>
    <row r="8" spans="1:60" x14ac:dyDescent="0.25">
      <c r="A8" s="1" t="s">
        <v>19</v>
      </c>
      <c r="B8" s="1"/>
      <c r="C8" s="2">
        <v>6700</v>
      </c>
      <c r="D8" s="2">
        <v>7000</v>
      </c>
      <c r="E8" s="2">
        <v>6800</v>
      </c>
      <c r="F8" s="2">
        <v>5200</v>
      </c>
      <c r="G8" s="2">
        <v>2900</v>
      </c>
      <c r="H8" s="2">
        <v>2900</v>
      </c>
      <c r="I8" s="2">
        <v>3500</v>
      </c>
      <c r="J8" s="1"/>
      <c r="K8" s="2">
        <v>3500</v>
      </c>
      <c r="L8" s="2">
        <v>3500</v>
      </c>
      <c r="M8" s="2">
        <v>3500</v>
      </c>
      <c r="N8" s="2">
        <v>3600</v>
      </c>
      <c r="O8" s="2">
        <v>1700</v>
      </c>
      <c r="P8" s="2">
        <v>3500</v>
      </c>
      <c r="Q8" s="2">
        <v>3800</v>
      </c>
      <c r="R8" s="2">
        <v>3400</v>
      </c>
      <c r="S8" s="2">
        <v>3500</v>
      </c>
      <c r="T8" s="2">
        <v>3400</v>
      </c>
      <c r="U8" s="9">
        <v>3800</v>
      </c>
      <c r="V8" s="2">
        <v>4000</v>
      </c>
      <c r="W8" s="2">
        <v>4400</v>
      </c>
      <c r="X8" s="2">
        <v>3500</v>
      </c>
      <c r="Y8" s="2">
        <v>3500</v>
      </c>
      <c r="Z8" s="2">
        <v>3500</v>
      </c>
      <c r="AA8" s="2">
        <v>3400</v>
      </c>
      <c r="AB8" s="2">
        <v>3600</v>
      </c>
      <c r="AC8" s="2">
        <v>3750</v>
      </c>
      <c r="AD8" s="2">
        <v>3900</v>
      </c>
      <c r="AE8" s="1"/>
      <c r="AF8" s="2">
        <v>3700</v>
      </c>
      <c r="AG8" s="2">
        <v>3500</v>
      </c>
      <c r="AH8" s="1"/>
      <c r="AI8" s="1"/>
      <c r="AJ8" s="1"/>
      <c r="AK8" s="1"/>
      <c r="AL8" s="1"/>
      <c r="AM8" s="1"/>
      <c r="AN8" s="1"/>
      <c r="AO8" s="1"/>
      <c r="AP8" s="2">
        <v>3450</v>
      </c>
      <c r="AQ8" s="2">
        <v>3450</v>
      </c>
      <c r="AR8" s="11">
        <v>3450</v>
      </c>
      <c r="AS8" s="2">
        <v>3450</v>
      </c>
      <c r="AT8" s="4">
        <v>3450</v>
      </c>
      <c r="AU8" s="4">
        <v>3450</v>
      </c>
      <c r="AV8" s="2">
        <v>3450</v>
      </c>
      <c r="AW8" s="2">
        <v>3450</v>
      </c>
      <c r="AX8" s="2">
        <v>3450</v>
      </c>
      <c r="AY8" s="2">
        <v>3450</v>
      </c>
      <c r="AZ8" s="2">
        <v>3440</v>
      </c>
      <c r="BA8" s="2">
        <v>3440</v>
      </c>
      <c r="BB8" s="2">
        <v>3440</v>
      </c>
      <c r="BC8" s="2">
        <v>3440</v>
      </c>
      <c r="BD8" s="2">
        <v>3440</v>
      </c>
      <c r="BE8" s="11">
        <v>3437</v>
      </c>
      <c r="BF8" s="2">
        <v>5060</v>
      </c>
      <c r="BG8" s="2">
        <v>5990</v>
      </c>
      <c r="BH8" s="2">
        <v>5990</v>
      </c>
    </row>
    <row r="9" spans="1:60" x14ac:dyDescent="0.25">
      <c r="A9" s="1" t="s">
        <v>20</v>
      </c>
      <c r="B9" s="1"/>
      <c r="C9" s="2">
        <v>8400</v>
      </c>
      <c r="D9" s="2">
        <v>8400</v>
      </c>
      <c r="E9" s="2">
        <v>8000</v>
      </c>
      <c r="F9" s="2">
        <v>8000</v>
      </c>
      <c r="G9" s="2">
        <v>8000</v>
      </c>
      <c r="H9" s="2">
        <v>5000</v>
      </c>
      <c r="I9" s="2">
        <v>5000</v>
      </c>
      <c r="J9" s="1"/>
      <c r="K9" s="2">
        <v>5500</v>
      </c>
      <c r="L9" s="2">
        <v>8500</v>
      </c>
      <c r="M9" s="2">
        <v>8000</v>
      </c>
      <c r="N9" s="2">
        <v>8500</v>
      </c>
      <c r="O9" s="2">
        <v>8500</v>
      </c>
      <c r="P9" s="2">
        <v>8500</v>
      </c>
      <c r="Q9" s="2">
        <v>9000</v>
      </c>
      <c r="R9" s="2">
        <v>8000</v>
      </c>
      <c r="S9" s="2">
        <v>6800</v>
      </c>
      <c r="T9" s="2">
        <v>5800</v>
      </c>
      <c r="U9" s="2">
        <v>6000</v>
      </c>
      <c r="V9" s="2">
        <v>6000</v>
      </c>
      <c r="W9" s="2">
        <v>5200</v>
      </c>
      <c r="X9" s="2">
        <v>8500</v>
      </c>
      <c r="Y9" s="2">
        <v>8600</v>
      </c>
      <c r="Z9" s="2">
        <v>8600</v>
      </c>
      <c r="AA9" s="2">
        <v>8600</v>
      </c>
      <c r="AB9" s="2">
        <v>8500</v>
      </c>
      <c r="AC9" s="2">
        <v>7000</v>
      </c>
      <c r="AD9" s="2">
        <v>6500</v>
      </c>
      <c r="AE9" s="1"/>
      <c r="AF9" s="2">
        <v>6500</v>
      </c>
      <c r="AG9" s="2">
        <v>6500</v>
      </c>
      <c r="AH9" s="1"/>
      <c r="AI9" s="1"/>
      <c r="AJ9" s="1"/>
      <c r="AK9" s="1"/>
      <c r="AL9" s="1"/>
      <c r="AM9" s="1"/>
      <c r="AN9" s="1"/>
      <c r="AO9" s="1"/>
      <c r="AP9" s="2">
        <v>7380</v>
      </c>
      <c r="AQ9" s="2">
        <v>7380</v>
      </c>
      <c r="AR9" s="11">
        <v>6260</v>
      </c>
      <c r="AS9" s="2">
        <v>8200</v>
      </c>
      <c r="AT9" s="4">
        <v>8200</v>
      </c>
      <c r="AU9" s="4">
        <v>11500</v>
      </c>
      <c r="AV9" s="2">
        <v>12300</v>
      </c>
      <c r="AW9" s="2">
        <v>12300</v>
      </c>
      <c r="AX9" s="2">
        <v>12300</v>
      </c>
      <c r="AY9" s="2">
        <v>12300</v>
      </c>
      <c r="AZ9" s="2">
        <v>12300</v>
      </c>
      <c r="BA9" s="2">
        <v>12300</v>
      </c>
      <c r="BB9" s="2">
        <v>8200</v>
      </c>
      <c r="BC9" s="2">
        <v>8200</v>
      </c>
      <c r="BD9" s="2">
        <v>8200</v>
      </c>
      <c r="BE9" s="11">
        <v>8184</v>
      </c>
      <c r="BF9" s="2">
        <v>9810</v>
      </c>
      <c r="BG9" s="2">
        <v>14016</v>
      </c>
      <c r="BH9" s="2">
        <v>14665</v>
      </c>
    </row>
    <row r="10" spans="1:60" x14ac:dyDescent="0.25">
      <c r="A10" s="1" t="s">
        <v>21</v>
      </c>
      <c r="B10" s="1"/>
      <c r="C10" s="1"/>
      <c r="D10" s="1"/>
      <c r="E10" s="1"/>
      <c r="F10" s="1"/>
      <c r="G10" s="2">
        <v>12000</v>
      </c>
      <c r="H10" s="1">
        <v>2000</v>
      </c>
      <c r="I10" s="1">
        <v>2000</v>
      </c>
      <c r="J10" s="1"/>
      <c r="K10" s="2">
        <v>2000</v>
      </c>
      <c r="L10" s="1">
        <v>2000</v>
      </c>
      <c r="M10" s="2">
        <v>2000</v>
      </c>
      <c r="N10" s="2">
        <v>12000</v>
      </c>
      <c r="O10" s="2">
        <v>4000</v>
      </c>
      <c r="P10" s="2">
        <v>2000</v>
      </c>
      <c r="Q10" s="2">
        <v>3000</v>
      </c>
      <c r="R10" s="2">
        <v>5000</v>
      </c>
      <c r="S10" s="2">
        <v>4000</v>
      </c>
      <c r="T10" s="2">
        <v>4000</v>
      </c>
      <c r="U10" s="2">
        <v>4000</v>
      </c>
      <c r="V10" s="2">
        <v>3000</v>
      </c>
      <c r="W10" s="2">
        <v>2000</v>
      </c>
      <c r="X10" s="2">
        <v>2000</v>
      </c>
      <c r="Y10" s="2">
        <v>2000</v>
      </c>
      <c r="Z10" s="2">
        <v>6000</v>
      </c>
      <c r="AA10" s="2">
        <v>6000</v>
      </c>
      <c r="AB10" s="2">
        <v>2000</v>
      </c>
      <c r="AC10" s="2">
        <v>5000</v>
      </c>
      <c r="AD10" s="2">
        <v>5000</v>
      </c>
      <c r="AE10" s="1"/>
      <c r="AF10" s="2">
        <v>4000</v>
      </c>
      <c r="AG10" s="2">
        <v>2000</v>
      </c>
      <c r="AH10" s="1"/>
      <c r="AI10" s="1"/>
      <c r="AJ10" s="1"/>
      <c r="AK10" s="1"/>
      <c r="AL10" s="1"/>
      <c r="AM10" s="1"/>
      <c r="AN10" s="1"/>
      <c r="AO10" s="1"/>
      <c r="AP10" s="2">
        <v>3520</v>
      </c>
      <c r="AQ10" s="2">
        <v>3520</v>
      </c>
      <c r="AR10" s="11">
        <v>2700</v>
      </c>
      <c r="AS10" s="2">
        <v>2700</v>
      </c>
      <c r="AT10" s="4">
        <v>5650</v>
      </c>
      <c r="AU10" s="4">
        <v>5560</v>
      </c>
      <c r="AV10" s="2">
        <v>5000</v>
      </c>
      <c r="AW10" s="2">
        <v>5600</v>
      </c>
      <c r="AX10" s="2">
        <v>6200</v>
      </c>
      <c r="AY10" s="2">
        <v>5000</v>
      </c>
      <c r="AZ10" s="2">
        <v>6114</v>
      </c>
      <c r="BA10" s="2">
        <v>6100</v>
      </c>
      <c r="BB10" s="2">
        <v>3700</v>
      </c>
      <c r="BC10" s="2">
        <v>4175</v>
      </c>
      <c r="BD10" s="2">
        <v>4170</v>
      </c>
      <c r="BE10" s="11">
        <v>4180</v>
      </c>
      <c r="BF10" s="2">
        <v>4950</v>
      </c>
      <c r="BG10" s="2">
        <v>6590</v>
      </c>
      <c r="BH10" s="2">
        <v>6590</v>
      </c>
    </row>
    <row r="11" spans="1:60" x14ac:dyDescent="0.25">
      <c r="A11" s="1" t="s">
        <v>22</v>
      </c>
      <c r="B11" s="1"/>
      <c r="C11" s="2">
        <v>1000</v>
      </c>
      <c r="D11" s="2">
        <v>400</v>
      </c>
      <c r="E11" s="1"/>
      <c r="F11" s="1"/>
      <c r="G11" s="1"/>
      <c r="H11" s="2">
        <v>2000</v>
      </c>
      <c r="I11" s="2">
        <v>500</v>
      </c>
      <c r="J11" s="1"/>
      <c r="K11" s="2">
        <v>500</v>
      </c>
      <c r="L11" s="2">
        <v>500</v>
      </c>
      <c r="M11" s="2">
        <v>500</v>
      </c>
      <c r="N11" s="1"/>
      <c r="O11" s="1"/>
      <c r="P11" s="1"/>
      <c r="Q11" s="2">
        <v>500</v>
      </c>
      <c r="R11" s="2">
        <v>500</v>
      </c>
      <c r="S11" s="1"/>
      <c r="T11" s="2">
        <v>1000</v>
      </c>
      <c r="U11" s="9">
        <v>1000</v>
      </c>
      <c r="V11" s="2">
        <v>1000</v>
      </c>
      <c r="W11" s="2">
        <v>1000</v>
      </c>
      <c r="X11" s="2">
        <v>500</v>
      </c>
      <c r="Y11" s="1"/>
      <c r="Z11" s="1"/>
      <c r="AA11" s="1"/>
      <c r="AB11" s="2">
        <v>500</v>
      </c>
      <c r="AC11" s="2">
        <v>500</v>
      </c>
      <c r="AD11" s="2">
        <v>500</v>
      </c>
      <c r="AE11" s="1"/>
      <c r="AF11" s="2">
        <v>500</v>
      </c>
      <c r="AG11" s="2">
        <v>500</v>
      </c>
      <c r="AH11" s="1"/>
      <c r="AI11" s="1"/>
      <c r="AJ11" s="1"/>
      <c r="AK11" s="1"/>
      <c r="AL11" s="1"/>
      <c r="AM11" s="1"/>
      <c r="AN11" s="1"/>
      <c r="AO11" s="1"/>
      <c r="AP11" s="2">
        <v>1200</v>
      </c>
      <c r="AQ11" s="2">
        <v>1200</v>
      </c>
      <c r="AR11" s="11">
        <v>2000</v>
      </c>
      <c r="AS11" s="2">
        <v>2000</v>
      </c>
      <c r="AT11" s="4">
        <v>1200</v>
      </c>
      <c r="AU11" s="4">
        <v>500</v>
      </c>
      <c r="AV11" s="2">
        <v>500</v>
      </c>
      <c r="AW11" s="2">
        <v>500</v>
      </c>
      <c r="AX11" s="2">
        <v>500</v>
      </c>
      <c r="AY11" s="2">
        <v>500</v>
      </c>
      <c r="AZ11" s="2">
        <v>500</v>
      </c>
      <c r="BA11" s="2">
        <v>500</v>
      </c>
      <c r="BB11" s="2">
        <v>500</v>
      </c>
      <c r="BC11" s="2">
        <v>500</v>
      </c>
      <c r="BD11" s="2">
        <v>1000</v>
      </c>
      <c r="BE11" s="11">
        <v>975</v>
      </c>
      <c r="BF11" s="2">
        <v>1000</v>
      </c>
      <c r="BG11" s="2">
        <v>500</v>
      </c>
      <c r="BH11" s="2">
        <v>500</v>
      </c>
    </row>
    <row r="12" spans="1:60" x14ac:dyDescent="0.25">
      <c r="A12" s="1" t="s">
        <v>25</v>
      </c>
      <c r="B12" s="1"/>
      <c r="C12" s="1"/>
      <c r="D12" s="1"/>
      <c r="E12" s="1"/>
      <c r="F12" s="2">
        <v>4600</v>
      </c>
      <c r="G12" s="2">
        <v>4600</v>
      </c>
      <c r="H12" s="2">
        <v>4600</v>
      </c>
      <c r="I12" s="2">
        <v>4600</v>
      </c>
      <c r="J12" s="1"/>
      <c r="K12" s="2">
        <v>4600</v>
      </c>
      <c r="L12" s="2">
        <v>4600</v>
      </c>
      <c r="M12" s="2">
        <v>4600</v>
      </c>
      <c r="N12" s="2">
        <v>4600</v>
      </c>
      <c r="O12" s="2">
        <v>4600</v>
      </c>
      <c r="P12" s="2">
        <v>4600</v>
      </c>
      <c r="Q12" s="2">
        <v>4600</v>
      </c>
      <c r="R12" s="2">
        <v>4600</v>
      </c>
      <c r="S12" s="2">
        <v>4600</v>
      </c>
      <c r="T12" s="2">
        <v>4600</v>
      </c>
      <c r="U12" s="9">
        <v>4600</v>
      </c>
      <c r="V12" s="2">
        <v>4600</v>
      </c>
      <c r="W12" s="2">
        <v>4600</v>
      </c>
      <c r="X12" s="2">
        <v>4600</v>
      </c>
      <c r="Y12" s="2">
        <v>4600</v>
      </c>
      <c r="Z12" s="2">
        <v>4600</v>
      </c>
      <c r="AA12" s="2">
        <v>4600</v>
      </c>
      <c r="AB12" s="2">
        <v>4600</v>
      </c>
      <c r="AC12" s="2">
        <v>4600</v>
      </c>
      <c r="AD12" s="2">
        <v>4600</v>
      </c>
      <c r="AE12" s="1"/>
      <c r="AF12" s="2">
        <v>4600</v>
      </c>
      <c r="AG12" s="2">
        <v>4600</v>
      </c>
      <c r="AH12" s="1"/>
      <c r="AI12" s="1"/>
      <c r="AJ12" s="1"/>
      <c r="AK12" s="1"/>
      <c r="AL12" s="1"/>
      <c r="AM12" s="1"/>
      <c r="AN12" s="1"/>
      <c r="AO12" s="1"/>
      <c r="AP12" s="2">
        <v>5200</v>
      </c>
      <c r="AQ12" s="2">
        <v>5200</v>
      </c>
      <c r="AR12" s="11">
        <v>5200</v>
      </c>
      <c r="AS12" s="2">
        <v>5200</v>
      </c>
      <c r="AT12" s="4">
        <v>5200</v>
      </c>
      <c r="AU12" s="4">
        <v>5200</v>
      </c>
      <c r="AV12" s="2">
        <v>6500</v>
      </c>
      <c r="AW12" s="2">
        <v>6500</v>
      </c>
      <c r="AX12" s="2">
        <v>6500</v>
      </c>
      <c r="AY12" s="2">
        <v>6500</v>
      </c>
      <c r="AZ12" s="2">
        <v>6500</v>
      </c>
      <c r="BA12" s="2">
        <v>6500</v>
      </c>
      <c r="BB12" s="2">
        <v>6500</v>
      </c>
      <c r="BC12" s="2">
        <v>6500</v>
      </c>
      <c r="BD12" s="2">
        <v>5200</v>
      </c>
      <c r="BE12" s="11">
        <v>5000</v>
      </c>
      <c r="BF12" s="2">
        <v>5200</v>
      </c>
      <c r="BG12" s="2">
        <v>5200</v>
      </c>
      <c r="BH12" s="2">
        <v>5200</v>
      </c>
    </row>
    <row r="13" spans="1:60" x14ac:dyDescent="0.25">
      <c r="A13" s="1" t="s">
        <v>29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S13" s="1"/>
      <c r="AT13" s="1"/>
      <c r="AU13" s="1"/>
      <c r="AV13" s="1"/>
      <c r="AW13" s="1">
        <v>42000</v>
      </c>
      <c r="AX13" s="1"/>
      <c r="AY13" s="1"/>
      <c r="AZ13" s="2">
        <v>2000</v>
      </c>
      <c r="BA13" s="2">
        <v>2000</v>
      </c>
      <c r="BB13" s="1">
        <v>2000</v>
      </c>
      <c r="BC13" s="1"/>
      <c r="BD13" s="2">
        <v>4000</v>
      </c>
      <c r="BE13" s="11">
        <v>4000</v>
      </c>
      <c r="BF13" s="2">
        <v>3000</v>
      </c>
      <c r="BG13" s="2">
        <v>2000</v>
      </c>
      <c r="BH13" s="2">
        <v>2000</v>
      </c>
    </row>
    <row r="14" spans="1:60" x14ac:dyDescent="0.25">
      <c r="A14" s="1" t="s">
        <v>23</v>
      </c>
      <c r="B14" s="1"/>
      <c r="C14" s="3">
        <f>SUM(C3:C11)</f>
        <v>98250</v>
      </c>
      <c r="D14" s="3">
        <f>SUM(D3:D11)</f>
        <v>95350</v>
      </c>
      <c r="E14" s="3">
        <f>SUM(E3:E11)</f>
        <v>93350</v>
      </c>
      <c r="F14" s="3">
        <f t="shared" ref="F14:L14" si="0">SUM(F3:F12)</f>
        <v>96350</v>
      </c>
      <c r="G14" s="3">
        <f t="shared" si="0"/>
        <v>106050</v>
      </c>
      <c r="H14" s="3">
        <f t="shared" si="0"/>
        <v>97050</v>
      </c>
      <c r="I14" s="3">
        <f t="shared" si="0"/>
        <v>99150</v>
      </c>
      <c r="J14" s="3">
        <f t="shared" si="0"/>
        <v>0</v>
      </c>
      <c r="K14" s="3">
        <f t="shared" si="0"/>
        <v>74600</v>
      </c>
      <c r="L14" s="3">
        <f t="shared" si="0"/>
        <v>103600</v>
      </c>
      <c r="M14" s="3">
        <f t="shared" ref="M14:Z14" si="1">SUM(M3:M12)</f>
        <v>95200</v>
      </c>
      <c r="N14" s="3">
        <f t="shared" si="1"/>
        <v>89200</v>
      </c>
      <c r="O14" s="3">
        <f t="shared" si="1"/>
        <v>81400</v>
      </c>
      <c r="P14" s="3">
        <f t="shared" si="1"/>
        <v>77400</v>
      </c>
      <c r="Q14" s="3">
        <f t="shared" si="1"/>
        <v>80200</v>
      </c>
      <c r="R14" s="3">
        <f t="shared" si="1"/>
        <v>114900</v>
      </c>
      <c r="S14" s="3">
        <f t="shared" si="1"/>
        <v>95400</v>
      </c>
      <c r="T14" s="3">
        <f t="shared" si="1"/>
        <v>98300</v>
      </c>
      <c r="U14" s="3">
        <f t="shared" si="1"/>
        <v>73200</v>
      </c>
      <c r="V14" s="3">
        <f t="shared" si="1"/>
        <v>80100</v>
      </c>
      <c r="W14" s="3">
        <f t="shared" si="1"/>
        <v>78300</v>
      </c>
      <c r="X14" s="3">
        <f t="shared" si="1"/>
        <v>84700</v>
      </c>
      <c r="Y14" s="3">
        <f t="shared" si="1"/>
        <v>84200</v>
      </c>
      <c r="Z14" s="3">
        <f t="shared" si="1"/>
        <v>89700</v>
      </c>
      <c r="AA14" s="3">
        <f t="shared" ref="AA14:AF14" si="2">SUM(AA3:AA12)</f>
        <v>89900</v>
      </c>
      <c r="AB14" s="3">
        <f t="shared" si="2"/>
        <v>86600</v>
      </c>
      <c r="AC14" s="3">
        <f t="shared" si="2"/>
        <v>91450</v>
      </c>
      <c r="AD14" s="3">
        <f t="shared" si="2"/>
        <v>94400</v>
      </c>
      <c r="AE14" s="3">
        <f t="shared" si="2"/>
        <v>0</v>
      </c>
      <c r="AF14" s="3">
        <f t="shared" si="2"/>
        <v>95400</v>
      </c>
      <c r="AG14" s="3">
        <f t="shared" ref="AG14:AQ14" si="3">SUM(AG3:AG12)</f>
        <v>90600</v>
      </c>
      <c r="AH14" s="3">
        <f t="shared" si="3"/>
        <v>0</v>
      </c>
      <c r="AI14" s="3">
        <f t="shared" si="3"/>
        <v>0</v>
      </c>
      <c r="AJ14" s="3">
        <f t="shared" si="3"/>
        <v>0</v>
      </c>
      <c r="AK14" s="3">
        <f t="shared" si="3"/>
        <v>0</v>
      </c>
      <c r="AL14" s="3">
        <f t="shared" si="3"/>
        <v>0</v>
      </c>
      <c r="AM14" s="3">
        <f t="shared" si="3"/>
        <v>0</v>
      </c>
      <c r="AN14" s="3">
        <f t="shared" si="3"/>
        <v>0</v>
      </c>
      <c r="AO14" s="3">
        <f t="shared" si="3"/>
        <v>0</v>
      </c>
      <c r="AP14" s="3">
        <f t="shared" si="3"/>
        <v>118550</v>
      </c>
      <c r="AQ14" s="3">
        <f t="shared" si="3"/>
        <v>118550</v>
      </c>
      <c r="AR14" s="12">
        <f t="shared" ref="AR14" si="4">SUM(AR3:AR12)</f>
        <v>127840</v>
      </c>
      <c r="AS14" s="3">
        <f>SUM(AS3:AS12)</f>
        <v>138296</v>
      </c>
      <c r="AT14" s="3">
        <f>SUM(AT3:AT12)</f>
        <v>137506</v>
      </c>
      <c r="AU14" s="3">
        <f>SUM(AU3:AU12)</f>
        <v>133691</v>
      </c>
      <c r="AV14" s="3">
        <f>SUM(AV3:AV12)</f>
        <v>128566</v>
      </c>
      <c r="AW14" s="3">
        <f t="shared" ref="AW14:BC14" si="5">SUM(AW3:AW13)</f>
        <v>170466</v>
      </c>
      <c r="AX14" s="3">
        <f t="shared" si="5"/>
        <v>123640</v>
      </c>
      <c r="AY14" s="3">
        <f t="shared" si="5"/>
        <v>118250</v>
      </c>
      <c r="AZ14" s="3">
        <f t="shared" si="5"/>
        <v>134568</v>
      </c>
      <c r="BA14" s="3">
        <f t="shared" si="5"/>
        <v>90020</v>
      </c>
      <c r="BB14" s="3">
        <f t="shared" si="5"/>
        <v>85970</v>
      </c>
      <c r="BC14" s="3">
        <f t="shared" si="5"/>
        <v>118230</v>
      </c>
      <c r="BD14" s="3">
        <f t="shared" ref="BD14:BF14" si="6">SUM(BD3:BD13)</f>
        <v>75960</v>
      </c>
      <c r="BE14" s="3">
        <f t="shared" si="6"/>
        <v>71694</v>
      </c>
      <c r="BF14" s="3">
        <f t="shared" si="6"/>
        <v>77870</v>
      </c>
      <c r="BG14" s="3">
        <f t="shared" ref="BG14:BH14" si="7">SUM(BG3:BG13)</f>
        <v>79656</v>
      </c>
      <c r="BH14" s="3">
        <f t="shared" si="7"/>
        <v>128165</v>
      </c>
    </row>
    <row r="15" spans="1:60" x14ac:dyDescent="0.25">
      <c r="A15" s="1" t="s">
        <v>28</v>
      </c>
      <c r="B15" s="1"/>
      <c r="C15" s="10">
        <f t="shared" ref="C15:Y15" si="8">SUM(C7:C12)</f>
        <v>23700</v>
      </c>
      <c r="D15" s="10">
        <f t="shared" si="8"/>
        <v>20800</v>
      </c>
      <c r="E15" s="10">
        <f t="shared" si="8"/>
        <v>18800</v>
      </c>
      <c r="F15" s="10">
        <f t="shared" si="8"/>
        <v>21800</v>
      </c>
      <c r="G15" s="10">
        <f t="shared" si="8"/>
        <v>31500</v>
      </c>
      <c r="H15" s="10">
        <f t="shared" si="8"/>
        <v>22500</v>
      </c>
      <c r="I15" s="10">
        <f t="shared" si="8"/>
        <v>24600</v>
      </c>
      <c r="J15" s="10">
        <f t="shared" si="8"/>
        <v>0</v>
      </c>
      <c r="K15" s="10">
        <f t="shared" si="8"/>
        <v>27600</v>
      </c>
      <c r="L15" s="10">
        <f t="shared" si="8"/>
        <v>26600</v>
      </c>
      <c r="M15" s="10">
        <f t="shared" si="8"/>
        <v>23100</v>
      </c>
      <c r="N15" s="10">
        <f t="shared" si="8"/>
        <v>34200</v>
      </c>
      <c r="O15" s="10">
        <f t="shared" si="8"/>
        <v>26400</v>
      </c>
      <c r="P15" s="10">
        <f t="shared" si="8"/>
        <v>22400</v>
      </c>
      <c r="Q15" s="10">
        <f t="shared" si="8"/>
        <v>25200</v>
      </c>
      <c r="R15" s="10">
        <f t="shared" si="8"/>
        <v>25900</v>
      </c>
      <c r="S15" s="10">
        <f t="shared" si="8"/>
        <v>27400</v>
      </c>
      <c r="T15" s="10">
        <f t="shared" si="8"/>
        <v>30300</v>
      </c>
      <c r="U15" s="10">
        <f t="shared" si="8"/>
        <v>30200</v>
      </c>
      <c r="V15" s="10">
        <f t="shared" si="8"/>
        <v>30100</v>
      </c>
      <c r="W15" s="10">
        <f t="shared" si="8"/>
        <v>28300</v>
      </c>
      <c r="X15" s="10">
        <f t="shared" si="8"/>
        <v>26700</v>
      </c>
      <c r="Y15" s="10">
        <f t="shared" si="8"/>
        <v>24200</v>
      </c>
      <c r="Z15" s="10">
        <f t="shared" ref="Z15:AF15" si="9">SUM(Z7:Z12)</f>
        <v>29700</v>
      </c>
      <c r="AA15" s="10">
        <f t="shared" si="9"/>
        <v>29900</v>
      </c>
      <c r="AB15" s="10">
        <f t="shared" si="9"/>
        <v>26600</v>
      </c>
      <c r="AC15" s="10">
        <f t="shared" si="9"/>
        <v>31450</v>
      </c>
      <c r="AD15" s="10">
        <f t="shared" si="9"/>
        <v>34400</v>
      </c>
      <c r="AE15" s="10">
        <f t="shared" si="9"/>
        <v>0</v>
      </c>
      <c r="AF15" s="10">
        <f t="shared" si="9"/>
        <v>35400</v>
      </c>
      <c r="AG15" s="10">
        <f t="shared" ref="AG15:AQ15" si="10">SUM(AG7:AG12)</f>
        <v>30600</v>
      </c>
      <c r="AH15" s="10">
        <f t="shared" si="10"/>
        <v>0</v>
      </c>
      <c r="AI15" s="10">
        <f t="shared" si="10"/>
        <v>0</v>
      </c>
      <c r="AJ15" s="10">
        <f t="shared" si="10"/>
        <v>0</v>
      </c>
      <c r="AK15" s="10">
        <f t="shared" si="10"/>
        <v>0</v>
      </c>
      <c r="AL15" s="10">
        <f t="shared" si="10"/>
        <v>0</v>
      </c>
      <c r="AM15" s="10">
        <f t="shared" si="10"/>
        <v>0</v>
      </c>
      <c r="AN15" s="10">
        <f t="shared" si="10"/>
        <v>0</v>
      </c>
      <c r="AO15" s="10">
        <f t="shared" si="10"/>
        <v>0</v>
      </c>
      <c r="AP15" s="10">
        <f t="shared" si="10"/>
        <v>36250</v>
      </c>
      <c r="AQ15" s="10">
        <f t="shared" si="10"/>
        <v>36250</v>
      </c>
      <c r="AR15" s="10">
        <f t="shared" ref="AR15:AS15" si="11">SUM(AR7:AR12)</f>
        <v>37560</v>
      </c>
      <c r="AS15" s="14">
        <f t="shared" si="11"/>
        <v>39500</v>
      </c>
      <c r="AT15" s="14">
        <f t="shared" ref="AT15:AU15" si="12">SUM(AT7:AT12)</f>
        <v>38710</v>
      </c>
      <c r="AU15" s="14">
        <f t="shared" si="12"/>
        <v>34895</v>
      </c>
      <c r="AV15" s="14">
        <f t="shared" ref="AV15:AW15" si="13">SUM(AV7:AV12)</f>
        <v>37750</v>
      </c>
      <c r="AW15" s="14">
        <f t="shared" si="13"/>
        <v>37650</v>
      </c>
      <c r="AX15" s="14">
        <f t="shared" ref="AX15:AY15" si="14">SUM(AX7:AX12)</f>
        <v>41340</v>
      </c>
      <c r="AY15" s="14">
        <f t="shared" si="14"/>
        <v>35950</v>
      </c>
      <c r="AZ15" s="14">
        <f t="shared" ref="AZ15:BA15" si="15">SUM(AZ7:AZ12)</f>
        <v>37688</v>
      </c>
      <c r="BA15" s="14">
        <f t="shared" si="15"/>
        <v>36140</v>
      </c>
      <c r="BB15" s="14">
        <f t="shared" ref="BB15" si="16">SUM(BB7:BB12)</f>
        <v>35940</v>
      </c>
      <c r="BC15" s="14">
        <f>SUM(BC7:BC13)</f>
        <v>34230</v>
      </c>
      <c r="BD15" s="14">
        <f>SUM(BD7:BD13)</f>
        <v>45960</v>
      </c>
      <c r="BE15" s="14">
        <f t="shared" ref="BE15:BF15" si="17">SUM(BE7:BE13)</f>
        <v>41694</v>
      </c>
      <c r="BF15" s="14">
        <f t="shared" si="17"/>
        <v>42370</v>
      </c>
      <c r="BG15" s="14">
        <f t="shared" ref="BG15:BH15" si="18">SUM(BG7:BG13)</f>
        <v>44156</v>
      </c>
      <c r="BH15" s="14">
        <f t="shared" si="18"/>
        <v>42165</v>
      </c>
    </row>
    <row r="16" spans="1:60" x14ac:dyDescent="0.25"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t="s">
        <v>24</v>
      </c>
      <c r="C17" s="8">
        <f>SUM(C5:C11)</f>
        <v>59000</v>
      </c>
      <c r="D17" s="8">
        <f>SUM(D5:D11)</f>
        <v>56100</v>
      </c>
      <c r="E17" s="8">
        <f>SUM(E5:E11)</f>
        <v>54100</v>
      </c>
      <c r="F17" s="8">
        <f t="shared" ref="F17:L17" si="19">SUM(F5:F12)</f>
        <v>57100</v>
      </c>
      <c r="G17" s="8">
        <f t="shared" si="19"/>
        <v>66800</v>
      </c>
      <c r="H17" s="8">
        <f t="shared" si="19"/>
        <v>57800</v>
      </c>
      <c r="I17" s="8">
        <f t="shared" si="19"/>
        <v>59900</v>
      </c>
      <c r="J17" s="8">
        <f t="shared" si="19"/>
        <v>0</v>
      </c>
      <c r="K17" s="8">
        <f t="shared" si="19"/>
        <v>49600</v>
      </c>
      <c r="L17" s="8">
        <f t="shared" si="19"/>
        <v>78600</v>
      </c>
      <c r="M17" s="8">
        <f t="shared" ref="M17:T17" si="20">SUM(M5:M12)</f>
        <v>70200</v>
      </c>
      <c r="N17" s="8">
        <f t="shared" si="20"/>
        <v>64200</v>
      </c>
      <c r="O17" s="8">
        <f t="shared" si="20"/>
        <v>56400</v>
      </c>
      <c r="P17" s="8">
        <f t="shared" si="20"/>
        <v>52400</v>
      </c>
      <c r="Q17" s="8">
        <f t="shared" si="20"/>
        <v>55200</v>
      </c>
      <c r="R17" s="8">
        <f t="shared" si="20"/>
        <v>89900</v>
      </c>
      <c r="S17" s="8">
        <f t="shared" si="20"/>
        <v>70400</v>
      </c>
      <c r="T17" s="8">
        <f t="shared" si="20"/>
        <v>73300</v>
      </c>
      <c r="U17" s="8">
        <f>SUM(U5,U6,U9,U10)</f>
        <v>53000</v>
      </c>
      <c r="V17" s="8">
        <f>SUM(V6:V12)</f>
        <v>60100</v>
      </c>
      <c r="W17" s="8">
        <f t="shared" ref="W17:AC17" si="21">SUM(W5:W12)</f>
        <v>78300</v>
      </c>
      <c r="X17" s="8">
        <f t="shared" si="21"/>
        <v>84700</v>
      </c>
      <c r="Y17" s="8">
        <f t="shared" si="21"/>
        <v>84200</v>
      </c>
      <c r="Z17" s="8">
        <f t="shared" si="21"/>
        <v>89700</v>
      </c>
      <c r="AA17" s="8">
        <f t="shared" si="21"/>
        <v>89900</v>
      </c>
      <c r="AB17" s="8">
        <f t="shared" si="21"/>
        <v>86600</v>
      </c>
      <c r="AC17" s="8">
        <f t="shared" si="21"/>
        <v>91450</v>
      </c>
      <c r="AD17" s="8">
        <f>SUM(AD5:AD12)</f>
        <v>94400</v>
      </c>
      <c r="AE17" s="8">
        <f>SUM(AE5:AE12)</f>
        <v>0</v>
      </c>
      <c r="AF17" s="8">
        <f>SUM(AF5:AF12)</f>
        <v>95400</v>
      </c>
      <c r="AG17" s="8">
        <f>SUM(AG5:AG12)</f>
        <v>90600</v>
      </c>
      <c r="AH17" s="8">
        <f t="shared" ref="AH17:AQ17" si="22">SUM(AH5:AH12)</f>
        <v>0</v>
      </c>
      <c r="AI17" s="8">
        <f t="shared" si="22"/>
        <v>0</v>
      </c>
      <c r="AJ17" s="8">
        <f t="shared" si="22"/>
        <v>0</v>
      </c>
      <c r="AK17" s="8">
        <f t="shared" si="22"/>
        <v>0</v>
      </c>
      <c r="AL17" s="8">
        <f t="shared" si="22"/>
        <v>0</v>
      </c>
      <c r="AM17" s="8">
        <f t="shared" si="22"/>
        <v>0</v>
      </c>
      <c r="AN17" s="8">
        <f t="shared" si="22"/>
        <v>0</v>
      </c>
      <c r="AO17" s="8">
        <f t="shared" si="22"/>
        <v>0</v>
      </c>
      <c r="AP17" s="8">
        <f t="shared" si="22"/>
        <v>118550</v>
      </c>
      <c r="AQ17" s="8">
        <f t="shared" si="22"/>
        <v>118550</v>
      </c>
      <c r="AR17" s="8">
        <f t="shared" ref="AR17:AS17" si="23">SUM(AR5:AR12)</f>
        <v>127840</v>
      </c>
      <c r="AS17" s="15">
        <f t="shared" si="23"/>
        <v>129780</v>
      </c>
      <c r="AT17" s="15">
        <f>SUM(AT5:AT12)</f>
        <v>128990</v>
      </c>
      <c r="AU17" s="15">
        <f>SUM(AU5:AU12)</f>
        <v>125175</v>
      </c>
      <c r="AV17" s="15">
        <f>SUM(AV5:AV12)</f>
        <v>120050</v>
      </c>
      <c r="AW17" s="15">
        <f t="shared" ref="AW17:BB17" si="24">SUM(AW5:AW13)</f>
        <v>161950</v>
      </c>
      <c r="AX17" s="15">
        <f t="shared" si="24"/>
        <v>123640</v>
      </c>
      <c r="AY17" s="15">
        <f t="shared" si="24"/>
        <v>118250</v>
      </c>
      <c r="AZ17" s="15">
        <f t="shared" si="24"/>
        <v>122688</v>
      </c>
      <c r="BA17" s="15">
        <f t="shared" si="24"/>
        <v>78140</v>
      </c>
      <c r="BB17" s="15">
        <f t="shared" si="24"/>
        <v>77940</v>
      </c>
      <c r="BC17" s="15">
        <f>SUM(BC5:BC13)</f>
        <v>80230</v>
      </c>
      <c r="BD17" s="15">
        <f>SUM(BD5:BD13)</f>
        <v>75960</v>
      </c>
      <c r="BE17" s="15">
        <f t="shared" ref="BE17:BF17" si="25">SUM(BE5:BE13)</f>
        <v>71694</v>
      </c>
      <c r="BF17" s="15">
        <f t="shared" si="25"/>
        <v>77870</v>
      </c>
      <c r="BG17" s="15">
        <f t="shared" ref="BG17:BH17" si="26">SUM(BG5:BG13)</f>
        <v>79656</v>
      </c>
      <c r="BH17" s="15">
        <f t="shared" si="26"/>
        <v>128165</v>
      </c>
    </row>
    <row r="18" spans="1:60" ht="15.75" thickBot="1" x14ac:dyDescent="0.3"/>
    <row r="19" spans="1:60" ht="21" thickTop="1" thickBot="1" x14ac:dyDescent="0.35">
      <c r="A19" s="6" t="s">
        <v>27</v>
      </c>
      <c r="B19" s="6" t="s">
        <v>26</v>
      </c>
    </row>
    <row r="20" spans="1:60" ht="16.5" thickTop="1" thickBot="1" x14ac:dyDescent="0.3">
      <c r="A20" s="7" t="s">
        <v>30</v>
      </c>
      <c r="B20" s="7">
        <v>41009550</v>
      </c>
    </row>
    <row r="21" spans="1:60" ht="16.5" thickTop="1" thickBot="1" x14ac:dyDescent="0.3">
      <c r="A21" s="7" t="s">
        <v>31</v>
      </c>
      <c r="B21" s="7">
        <v>77233563120</v>
      </c>
    </row>
    <row r="22" spans="1:60" ht="16.5" thickTop="1" thickBot="1" x14ac:dyDescent="0.3">
      <c r="A22" s="7" t="s">
        <v>32</v>
      </c>
      <c r="B22" s="7">
        <v>4024021</v>
      </c>
    </row>
    <row r="23" spans="1:60" ht="16.5" thickTop="1" thickBot="1" x14ac:dyDescent="0.3">
      <c r="A23" s="7" t="s">
        <v>33</v>
      </c>
      <c r="B23" s="7">
        <v>15341</v>
      </c>
    </row>
    <row r="24" spans="1:60" ht="16.5" thickTop="1" thickBot="1" x14ac:dyDescent="0.3">
      <c r="A24" s="7" t="s">
        <v>34</v>
      </c>
      <c r="B24" s="7">
        <v>41280115</v>
      </c>
    </row>
    <row r="25" spans="1:60" ht="16.5" thickTop="1" thickBot="1" x14ac:dyDescent="0.3">
      <c r="A25" s="7" t="s">
        <v>35</v>
      </c>
      <c r="B25" s="7">
        <v>270276482</v>
      </c>
    </row>
    <row r="26" spans="1:60" ht="16.5" thickTop="1" thickBot="1" x14ac:dyDescent="0.3">
      <c r="A26" s="7" t="s">
        <v>36</v>
      </c>
    </row>
    <row r="27" spans="1:60" ht="15.75" thickTop="1" x14ac:dyDescent="0.25"/>
  </sheetData>
  <mergeCells count="1">
    <mergeCell ref="A1:M1"/>
  </mergeCells>
  <phoneticPr fontId="2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3F5591-0579-4BB3-89B7-43540E029E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2025-12-04T11:14:48Z</dcterms:modified>
</cp:coreProperties>
</file>